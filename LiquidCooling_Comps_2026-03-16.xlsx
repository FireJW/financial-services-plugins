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7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color rgb="00000000"/>
      <sz val="11"/>
    </font>
    <font>
      <name val="Microsoft YaHei"/>
      <b val="1"/>
      <color rgb="00FFFFFF"/>
      <sz val="12"/>
    </font>
    <font>
      <name val="Microsoft YaHei"/>
      <b val="1"/>
      <color rgb="00000000"/>
      <sz val="11"/>
    </font>
    <font>
      <name val="Microsoft YaHei"/>
      <color rgb="000000FF"/>
      <sz val="11"/>
    </font>
    <font>
      <name val="Microsoft YaHei"/>
      <b val="1"/>
      <i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7365D"/>
        <bgColor rgb="0017365D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</cols>
  <sheetData>
    <row r="1">
      <c r="A1" s="1" t="inlineStr">
        <is>
          <t>A-Share Comparable Company Analysis / NVIDIA Liquid Cooling Supply Chain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>
      <c r="A2" s="4" t="inlineStr">
        <is>
          <t>Sector: NVIDIA Liquid Cooling Supply Chain | Date: 2026-03-16 | Unit: RMB Millions (M)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5" t="inlineStr">
        <is>
          <t>Trading Multiples &amp; Operating Metrics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3" t="n"/>
    </row>
    <row r="5">
      <c r="A5" s="6" t="inlineStr">
        <is>
          <t>Company</t>
        </is>
      </c>
      <c r="B5" s="6" t="n"/>
      <c r="C5" s="6" t="n"/>
      <c r="D5" s="6" t="n"/>
      <c r="E5" s="6" t="n"/>
      <c r="F5" s="6" t="inlineStr">
        <is>
          <t>Size &amp; Profitability</t>
        </is>
      </c>
      <c r="G5" s="6" t="n"/>
      <c r="H5" s="6" t="n"/>
      <c r="I5" s="6" t="n"/>
      <c r="J5" s="6" t="n"/>
      <c r="K5" s="6" t="n"/>
      <c r="L5" s="6" t="n"/>
      <c r="M5" s="6" t="inlineStr">
        <is>
          <t>Valuation</t>
        </is>
      </c>
      <c r="N5" s="6" t="n"/>
      <c r="O5" s="6" t="n"/>
      <c r="P5" s="6" t="n"/>
    </row>
    <row r="6" ht="40" customHeight="1">
      <c r="A6" s="7" t="inlineStr">
        <is>
          <t>Ticker
Ticker</t>
        </is>
      </c>
      <c r="B6" s="7" t="inlineStr">
        <is>
          <t>Name
Name</t>
        </is>
      </c>
      <c r="C6" s="7" t="inlineStr">
        <is>
          <t>Price
Price</t>
        </is>
      </c>
      <c r="D6" s="7" t="inlineStr">
        <is>
          <t>MCap
Market Cap</t>
        </is>
      </c>
      <c r="E6" s="7" t="inlineStr">
        <is>
          <t>EV
EV</t>
        </is>
      </c>
      <c r="F6" s="7" t="inlineStr">
        <is>
          <t>Revenue
Revenue</t>
        </is>
      </c>
      <c r="G6" s="7" t="inlineStr">
        <is>
          <t>Rev Gr%
Rev Gr%</t>
        </is>
      </c>
      <c r="H6" s="7" t="inlineStr">
        <is>
          <t>Gross%
Gross%</t>
        </is>
      </c>
      <c r="I6" s="7" t="inlineStr">
        <is>
          <t>ROE
ROE%</t>
        </is>
      </c>
      <c r="J6" s="7" t="inlineStr">
        <is>
          <t>Net Inc
Net Income</t>
        </is>
      </c>
      <c r="K6" s="7" t="inlineStr">
        <is>
          <t>EBITDA
EBITDA</t>
        </is>
      </c>
      <c r="L6" s="7" t="inlineStr">
        <is>
          <t>Net Mgn%
Net Mgn%</t>
        </is>
      </c>
      <c r="M6" s="7" t="inlineStr">
        <is>
          <t>P/E
P/E</t>
        </is>
      </c>
      <c r="N6" s="7" t="inlineStr">
        <is>
          <t>P/B
P/B</t>
        </is>
      </c>
      <c r="O6" s="7" t="inlineStr">
        <is>
          <t>EV/EBITDA
EV/EBITDA</t>
        </is>
      </c>
      <c r="P6" s="7" t="inlineStr">
        <is>
          <t>EV/Rev
EV/Rev</t>
        </is>
      </c>
    </row>
    <row r="7">
      <c r="A7" s="4" t="inlineStr">
        <is>
          <t>002837.SZ</t>
        </is>
      </c>
      <c r="B7" s="4" t="inlineStr">
        <is>
          <t>Envicool</t>
        </is>
      </c>
      <c r="C7" s="8" t="n">
        <v>105</v>
      </c>
      <c r="D7" s="9">
        <f>$C7*977.0</f>
        <v/>
      </c>
      <c r="E7" s="9">
        <f>$D7+(800)</f>
        <v/>
      </c>
      <c r="F7" s="10" t="n">
        <v>4589</v>
      </c>
      <c r="G7" s="11" t="n">
        <v>0.3</v>
      </c>
      <c r="H7" s="11" t="n">
        <v>0.31</v>
      </c>
      <c r="I7" s="11" t="n">
        <v>0.155</v>
      </c>
      <c r="J7" s="10" t="n">
        <v>453</v>
      </c>
      <c r="K7" s="10" t="n">
        <v>741</v>
      </c>
      <c r="L7" s="12">
        <f>$J7/$F7</f>
        <v/>
      </c>
      <c r="M7" s="13">
        <f>IF($J7&gt;0,$D7/$J7,"NM")</f>
        <v/>
      </c>
      <c r="N7" s="13">
        <f>$D7/2916</f>
        <v/>
      </c>
      <c r="O7" s="13">
        <f>IF($K7&gt;0,$E7/$K7,"NM")</f>
        <v/>
      </c>
      <c r="P7" s="13">
        <f>$E7/$F7</f>
        <v/>
      </c>
    </row>
    <row r="8">
      <c r="A8" s="4" t="inlineStr">
        <is>
          <t>300499.SZ</t>
        </is>
      </c>
      <c r="B8" s="4" t="inlineStr">
        <is>
          <t>Gaolan</t>
        </is>
      </c>
      <c r="C8" s="8" t="n">
        <v>41.79</v>
      </c>
      <c r="D8" s="9">
        <f>$C8*305.0</f>
        <v/>
      </c>
      <c r="E8" s="9">
        <f>$D8+(600)</f>
        <v/>
      </c>
      <c r="F8" s="10" t="n">
        <v>691</v>
      </c>
      <c r="G8" s="11" t="n">
        <v>0.12</v>
      </c>
      <c r="H8" s="11" t="n">
        <v>0.25</v>
      </c>
      <c r="I8" s="11" t="n">
        <v>-0.045</v>
      </c>
      <c r="J8" s="10" t="n">
        <v>-50</v>
      </c>
      <c r="K8" s="10" t="n">
        <v>35</v>
      </c>
      <c r="L8" s="12">
        <f>$J8/$F8</f>
        <v/>
      </c>
      <c r="M8" s="13">
        <f>IF($J8&gt;0,$D8/$J8,"NM")</f>
        <v/>
      </c>
      <c r="N8" s="13">
        <f>$D8/1100</f>
        <v/>
      </c>
      <c r="O8" s="13">
        <f>IF($K8&gt;0,$E8/$K8,"NM")</f>
        <v/>
      </c>
      <c r="P8" s="13">
        <f>$E8/$F8</f>
        <v/>
      </c>
    </row>
    <row r="9">
      <c r="A9" s="4" t="inlineStr">
        <is>
          <t>301018.SZ</t>
        </is>
      </c>
      <c r="B9" s="4" t="inlineStr">
        <is>
          <t>Shenling</t>
        </is>
      </c>
      <c r="C9" s="8" t="n">
        <v>97.14</v>
      </c>
      <c r="D9" s="9">
        <f>$C9*266.0</f>
        <v/>
      </c>
      <c r="E9" s="9">
        <f>$D9+(1200)</f>
        <v/>
      </c>
      <c r="F9" s="10" t="n">
        <v>3016</v>
      </c>
      <c r="G9" s="11" t="n">
        <v>0.201</v>
      </c>
      <c r="H9" s="11" t="n">
        <v>0.24</v>
      </c>
      <c r="I9" s="11" t="n">
        <v>0.047</v>
      </c>
      <c r="J9" s="10" t="n">
        <v>116</v>
      </c>
      <c r="K9" s="10" t="n">
        <v>310</v>
      </c>
      <c r="L9" s="12">
        <f>$J9/$F9</f>
        <v/>
      </c>
      <c r="M9" s="13">
        <f>IF($J9&gt;0,$D9/$J9,"NM")</f>
        <v/>
      </c>
      <c r="N9" s="13">
        <f>$D9/2500</f>
        <v/>
      </c>
      <c r="O9" s="13">
        <f>IF($K9&gt;0,$E9/$K9,"NM")</f>
        <v/>
      </c>
      <c r="P9" s="13">
        <f>$E9/$F9</f>
        <v/>
      </c>
    </row>
    <row r="10">
      <c r="A10" s="4" t="inlineStr">
        <is>
          <t>300990.SZ</t>
        </is>
      </c>
      <c r="B10" s="4" t="inlineStr">
        <is>
          <t>Tongfei</t>
        </is>
      </c>
      <c r="C10" s="8" t="n">
        <v>88.09999999999999</v>
      </c>
      <c r="D10" s="9">
        <f>$C10*171.0</f>
        <v/>
      </c>
      <c r="E10" s="9">
        <f>$D10+(-200)</f>
        <v/>
      </c>
      <c r="F10" s="10" t="n">
        <v>2160</v>
      </c>
      <c r="G10" s="11" t="n">
        <v>0.171</v>
      </c>
      <c r="H10" s="11" t="n">
        <v>0.221</v>
      </c>
      <c r="I10" s="11" t="n">
        <v>0.081</v>
      </c>
      <c r="J10" s="10" t="n">
        <v>153</v>
      </c>
      <c r="K10" s="10" t="n">
        <v>350</v>
      </c>
      <c r="L10" s="12">
        <f>$J10/$F10</f>
        <v/>
      </c>
      <c r="M10" s="13">
        <f>IF($J10&gt;0,$D10/$J10,"NM")</f>
        <v/>
      </c>
      <c r="N10" s="13">
        <f>$D10/1890</f>
        <v/>
      </c>
      <c r="O10" s="13">
        <f>IF($K10&gt;0,$E10/$K10,"NM")</f>
        <v/>
      </c>
      <c r="P10" s="13">
        <f>$E10/$F10</f>
        <v/>
      </c>
    </row>
    <row r="11">
      <c r="A11" s="4" t="inlineStr">
        <is>
          <t>872808.BJ</t>
        </is>
      </c>
      <c r="B11" s="4" t="inlineStr">
        <is>
          <t>Sugon DC</t>
        </is>
      </c>
      <c r="C11" s="8" t="n">
        <v>90.39</v>
      </c>
      <c r="D11" s="9">
        <f>$C11*200.0</f>
        <v/>
      </c>
      <c r="E11" s="9">
        <f>$D11+(-150)</f>
        <v/>
      </c>
      <c r="F11" s="10" t="n">
        <v>506</v>
      </c>
      <c r="G11" s="11" t="n">
        <v>-0.222</v>
      </c>
      <c r="H11" s="11" t="n">
        <v>0.301</v>
      </c>
      <c r="I11" s="11" t="n">
        <v>0.08699999999999999</v>
      </c>
      <c r="J11" s="10" t="n">
        <v>61</v>
      </c>
      <c r="K11" s="10" t="n">
        <v>100</v>
      </c>
      <c r="L11" s="12">
        <f>$J11/$F11</f>
        <v/>
      </c>
      <c r="M11" s="13">
        <f>IF($J11&gt;0,$D11/$J11,"NM")</f>
        <v/>
      </c>
      <c r="N11" s="13">
        <f>$D11/700</f>
        <v/>
      </c>
      <c r="O11" s="13">
        <f>IF($K11&gt;0,$E11/$K11,"NM")</f>
        <v/>
      </c>
      <c r="P11" s="13">
        <f>$E11/$F11</f>
        <v/>
      </c>
    </row>
    <row r="12">
      <c r="A12" s="4" t="inlineStr">
        <is>
          <t>002126.SZ</t>
        </is>
      </c>
      <c r="B12" s="4" t="inlineStr">
        <is>
          <t>Yinlun</t>
        </is>
      </c>
      <c r="C12" s="8" t="n">
        <v>45.21</v>
      </c>
      <c r="D12" s="9">
        <f>$C12*846.0</f>
        <v/>
      </c>
      <c r="E12" s="9">
        <f>$D12+(2500)</f>
        <v/>
      </c>
      <c r="F12" s="10" t="n">
        <v>12702</v>
      </c>
      <c r="G12" s="11" t="n">
        <v>0.153</v>
      </c>
      <c r="H12" s="11" t="n">
        <v>0.201</v>
      </c>
      <c r="I12" s="11" t="n">
        <v>0.129</v>
      </c>
      <c r="J12" s="10" t="n">
        <v>784</v>
      </c>
      <c r="K12" s="10" t="n">
        <v>1650</v>
      </c>
      <c r="L12" s="12">
        <f>$J12/$F12</f>
        <v/>
      </c>
      <c r="M12" s="13">
        <f>IF($J12&gt;0,$D12/$J12,"NM")</f>
        <v/>
      </c>
      <c r="N12" s="13">
        <f>$D12/6057</f>
        <v/>
      </c>
      <c r="O12" s="13">
        <f>IF($K12&gt;0,$E12/$K12,"NM")</f>
        <v/>
      </c>
      <c r="P12" s="13">
        <f>$E12/$F12</f>
        <v/>
      </c>
    </row>
    <row r="13">
      <c r="A13" s="6" t="inlineStr">
        <is>
          <t>STATISTICS</t>
        </is>
      </c>
      <c r="B13" s="6" t="n"/>
      <c r="C13" s="6" t="n"/>
      <c r="D13" s="6" t="n"/>
      <c r="E13" s="6" t="n"/>
    </row>
    <row r="14">
      <c r="A14" s="14" t="inlineStr">
        <is>
          <t>Max / Maximum</t>
        </is>
      </c>
      <c r="B14" s="2" t="n"/>
      <c r="C14" s="2" t="n"/>
      <c r="D14" s="2" t="n"/>
      <c r="E14" s="3" t="n"/>
      <c r="F14" s="15" t="inlineStr"/>
      <c r="G14" s="16">
        <f>MAX(G7:G12)</f>
        <v/>
      </c>
      <c r="H14" s="16">
        <f>MAX(H7:H12)</f>
        <v/>
      </c>
      <c r="I14" s="16">
        <f>MAX(I7:I12)</f>
        <v/>
      </c>
      <c r="J14" s="15" t="inlineStr"/>
      <c r="K14" s="15" t="inlineStr"/>
      <c r="L14" s="16">
        <f>MAX(L7:L12)</f>
        <v/>
      </c>
      <c r="M14" s="17">
        <f>IFERROR(MAX(M7:M12), "NM")</f>
        <v/>
      </c>
      <c r="N14" s="17">
        <f>IFERROR(MAX(N7:N12), "NM")</f>
        <v/>
      </c>
      <c r="O14" s="17">
        <f>IFERROR(MAX(O7:O12), "NM")</f>
        <v/>
      </c>
      <c r="P14" s="17">
        <f>IFERROR(MAX(P7:P12), "NM")</f>
        <v/>
      </c>
    </row>
    <row r="15">
      <c r="A15" s="14" t="inlineStr">
        <is>
          <t>75th / 75th Pctile</t>
        </is>
      </c>
      <c r="B15" s="2" t="n"/>
      <c r="C15" s="2" t="n"/>
      <c r="D15" s="2" t="n"/>
      <c r="E15" s="3" t="n"/>
      <c r="F15" s="15" t="inlineStr"/>
      <c r="G15" s="16">
        <f>QUARTILE.INC(G7:G12, 3)</f>
        <v/>
      </c>
      <c r="H15" s="16">
        <f>QUARTILE.INC(H7:H12, 3)</f>
        <v/>
      </c>
      <c r="I15" s="16">
        <f>QUARTILE.INC(I7:I12, 3)</f>
        <v/>
      </c>
      <c r="J15" s="15" t="inlineStr"/>
      <c r="K15" s="15" t="inlineStr"/>
      <c r="L15" s="16">
        <f>QUARTILE.INC(L7:L12, 3)</f>
        <v/>
      </c>
      <c r="M15" s="17">
        <f>IFERROR(QUARTILE.INC(M7:M12, 3), "NM")</f>
        <v/>
      </c>
      <c r="N15" s="17">
        <f>IFERROR(QUARTILE.INC(N7:N12, 3), "NM")</f>
        <v/>
      </c>
      <c r="O15" s="17">
        <f>IFERROR(QUARTILE.INC(O7:O12, 3), "NM")</f>
        <v/>
      </c>
      <c r="P15" s="17">
        <f>IFERROR(QUARTILE.INC(P7:P12, 3), "NM")</f>
        <v/>
      </c>
    </row>
    <row r="16">
      <c r="A16" s="14" t="inlineStr">
        <is>
          <t>Median / Median</t>
        </is>
      </c>
      <c r="B16" s="2" t="n"/>
      <c r="C16" s="2" t="n"/>
      <c r="D16" s="2" t="n"/>
      <c r="E16" s="3" t="n"/>
      <c r="F16" s="15" t="inlineStr"/>
      <c r="G16" s="16">
        <f>MEDIAN(G7:G12)</f>
        <v/>
      </c>
      <c r="H16" s="16">
        <f>MEDIAN(H7:H12)</f>
        <v/>
      </c>
      <c r="I16" s="16">
        <f>MEDIAN(I7:I12)</f>
        <v/>
      </c>
      <c r="J16" s="15" t="inlineStr"/>
      <c r="K16" s="15" t="inlineStr"/>
      <c r="L16" s="16">
        <f>MEDIAN(L7:L12)</f>
        <v/>
      </c>
      <c r="M16" s="17">
        <f>IFERROR(MEDIAN(M7:M12), "NM")</f>
        <v/>
      </c>
      <c r="N16" s="17">
        <f>IFERROR(MEDIAN(N7:N12), "NM")</f>
        <v/>
      </c>
      <c r="O16" s="17">
        <f>IFERROR(MEDIAN(O7:O12), "NM")</f>
        <v/>
      </c>
      <c r="P16" s="17">
        <f>IFERROR(MEDIAN(P7:P12), "NM")</f>
        <v/>
      </c>
    </row>
    <row r="17">
      <c r="A17" s="14" t="inlineStr">
        <is>
          <t>Mean / Mean</t>
        </is>
      </c>
      <c r="B17" s="2" t="n"/>
      <c r="C17" s="2" t="n"/>
      <c r="D17" s="2" t="n"/>
      <c r="E17" s="3" t="n"/>
      <c r="F17" s="15" t="inlineStr"/>
      <c r="G17" s="16">
        <f>AVERAGE(G7:G12)</f>
        <v/>
      </c>
      <c r="H17" s="16">
        <f>AVERAGE(H7:H12)</f>
        <v/>
      </c>
      <c r="I17" s="16">
        <f>AVERAGE(I7:I12)</f>
        <v/>
      </c>
      <c r="J17" s="15" t="inlineStr"/>
      <c r="K17" s="15" t="inlineStr"/>
      <c r="L17" s="16">
        <f>AVERAGE(L7:L12)</f>
        <v/>
      </c>
      <c r="M17" s="17">
        <f>IFERROR(AVERAGE(M7:M12), "NM")</f>
        <v/>
      </c>
      <c r="N17" s="17">
        <f>IFERROR(AVERAGE(N7:N12), "NM")</f>
        <v/>
      </c>
      <c r="O17" s="17">
        <f>IFERROR(AVERAGE(O7:O12), "NM")</f>
        <v/>
      </c>
      <c r="P17" s="17">
        <f>IFERROR(AVERAGE(P7:P12), "NM")</f>
        <v/>
      </c>
    </row>
    <row r="18">
      <c r="A18" s="14" t="inlineStr">
        <is>
          <t>25th / 25th Pctile</t>
        </is>
      </c>
      <c r="B18" s="2" t="n"/>
      <c r="C18" s="2" t="n"/>
      <c r="D18" s="2" t="n"/>
      <c r="E18" s="3" t="n"/>
      <c r="F18" s="15" t="inlineStr"/>
      <c r="G18" s="16">
        <f>QUARTILE.INC(G7:G12, 1)</f>
        <v/>
      </c>
      <c r="H18" s="16">
        <f>QUARTILE.INC(H7:H12, 1)</f>
        <v/>
      </c>
      <c r="I18" s="16">
        <f>QUARTILE.INC(I7:I12, 1)</f>
        <v/>
      </c>
      <c r="J18" s="15" t="inlineStr"/>
      <c r="K18" s="15" t="inlineStr"/>
      <c r="L18" s="16">
        <f>QUARTILE.INC(L7:L12, 1)</f>
        <v/>
      </c>
      <c r="M18" s="17">
        <f>IFERROR(QUARTILE.INC(M7:M12, 1), "NM")</f>
        <v/>
      </c>
      <c r="N18" s="17">
        <f>IFERROR(QUARTILE.INC(N7:N12, 1), "NM")</f>
        <v/>
      </c>
      <c r="O18" s="17">
        <f>IFERROR(QUARTILE.INC(O7:O12, 1), "NM")</f>
        <v/>
      </c>
      <c r="P18" s="17">
        <f>IFERROR(QUARTILE.INC(P7:P12, 1), "NM")</f>
        <v/>
      </c>
    </row>
    <row r="19">
      <c r="A19" s="14" t="inlineStr">
        <is>
          <t>Min / Minimum</t>
        </is>
      </c>
      <c r="B19" s="2" t="n"/>
      <c r="C19" s="2" t="n"/>
      <c r="D19" s="2" t="n"/>
      <c r="E19" s="3" t="n"/>
      <c r="F19" s="15" t="inlineStr"/>
      <c r="G19" s="16">
        <f>MIN(G7:G12)</f>
        <v/>
      </c>
      <c r="H19" s="16">
        <f>MIN(H7:H12)</f>
        <v/>
      </c>
      <c r="I19" s="16">
        <f>MIN(I7:I12)</f>
        <v/>
      </c>
      <c r="J19" s="15" t="inlineStr"/>
      <c r="K19" s="15" t="inlineStr"/>
      <c r="L19" s="16">
        <f>MIN(L7:L12)</f>
        <v/>
      </c>
      <c r="M19" s="17">
        <f>IFERROR(MIN(M7:M12), "NM")</f>
        <v/>
      </c>
      <c r="N19" s="17">
        <f>IFERROR(MIN(N7:N12), "NM")</f>
        <v/>
      </c>
      <c r="O19" s="17">
        <f>IFERROR(MIN(O7:O12), "NM")</f>
        <v/>
      </c>
      <c r="P19" s="17">
        <f>IFERROR(MIN(P7:P12), "NM")</f>
        <v/>
      </c>
    </row>
    <row r="22">
      <c r="A22" s="5" t="inlineStr">
        <is>
          <t>SECTOR INSIGHTS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3" t="n"/>
    </row>
    <row r="23" ht="28" customHeight="1">
      <c r="A23" s="18" t="inlineStr">
        <is>
          <t>1. NVIDIA Liquid Cooling Megatrend: GB300/Rubin chips mandate 100% liquid cooling by 2026. DC liquid cooling penetration expected to surge from 14%(2024) to 33%(2025) and higher. China liquid cooling server market CAGR 48% (2025-2029).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3" t="n"/>
    </row>
    <row r="24" ht="28" customHeight="1">
      <c r="A24" s="18" t="inlineStr">
        <is>
          <t>2. Envicool (002837): NVIDIA core supplier - cold plates, UQD quick-connects, CDUs. GB300 cabinet value share 35% (highest among China suppliers). FY2024 rev +30%, liquid cooling revenue ~2x YoY. 1200-unit GB300 order worth RMB 9.6-10.2B. P/E ~226x reflects extreme growth premium.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/>
    </row>
    <row r="25" ht="28" customHeight="1">
      <c r="A25" s="18" t="inlineStr">
        <is>
          <t>3. Gaolan (300499): NVIDIA GB200/GB300 certified. Immersion cooling for ByteDance Singapore AI DC. FY2024 net loss, turnaround play. Expected ~2B incremental revenue from DGX B100 liquid cooling plates in 2026.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3" t="n"/>
    </row>
    <row r="26" ht="28" customHeight="1">
      <c r="A26" s="18" t="inlineStr">
        <is>
          <t>4. Shenling (301018): Liquid cooling system revenue +190% YoY in H1 2025. Deep partnership with Huawei. Cold plate solutions compatible with GB300 high-power chips. P/E ~223x, growth-stage valuation.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3" t="n"/>
    </row>
    <row r="27" ht="28" customHeight="1">
      <c r="A27" s="18" t="inlineStr">
        <is>
          <t>5. Tongfei (300990): Full liquid cooling solutions (cold plate + immersion). Net cash position. Most reasonable valuation in the peer group at P/E ~98x. FY2024 rev +17%, steady grower.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/>
    </row>
    <row r="28" ht="28" customHeight="1">
      <c r="A28" s="18" t="inlineStr">
        <is>
          <t>6. Yinlun (002126): Diversified thermal management (auto + DC). GB200/GB300 micro-channel cold plate core supplier. FY2024 rev 12.7B (+15%), P/E ~49x, cheapest in group due to auto exposure dilution.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/>
    </row>
  </sheetData>
  <mergeCells count="16">
    <mergeCell ref="A28:P28"/>
    <mergeCell ref="A25:P25"/>
    <mergeCell ref="A16:E16"/>
    <mergeCell ref="A15:E15"/>
    <mergeCell ref="A1:P1"/>
    <mergeCell ref="A23:P23"/>
    <mergeCell ref="A27:P27"/>
    <mergeCell ref="A19:E19"/>
    <mergeCell ref="A22:P22"/>
    <mergeCell ref="A4:P4"/>
    <mergeCell ref="A26:P26"/>
    <mergeCell ref="A14:E14"/>
    <mergeCell ref="A17:E17"/>
    <mergeCell ref="A18:E18"/>
    <mergeCell ref="A24:P2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2026-03-16T15:32:01Z</dcterms:created>
  <dcterms:modified xsi:type="dcterms:W3CDTF">2026-03-16T15:32:01Z</dcterms:modified>
</cp:coreProperties>
</file>