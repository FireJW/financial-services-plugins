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0.0%"/>
    <numFmt numFmtId="166" formatCode="0.0x"/>
  </numFmts>
  <fonts count="7">
    <font>
      <name val="Calibri"/>
      <family val="2"/>
      <color theme="1"/>
      <sz val="11"/>
      <scheme val="minor"/>
    </font>
    <font>
      <name val="Microsoft YaHei"/>
      <b val="1"/>
      <color rgb="00000000"/>
      <sz val="14"/>
    </font>
    <font>
      <name val="Microsoft YaHei"/>
      <color rgb="00000000"/>
      <sz val="11"/>
    </font>
    <font>
      <name val="Microsoft YaHei"/>
      <b val="1"/>
      <color rgb="00FFFFFF"/>
      <sz val="12"/>
    </font>
    <font>
      <name val="Microsoft YaHei"/>
      <b val="1"/>
      <color rgb="00000000"/>
      <sz val="11"/>
    </font>
    <font>
      <name val="Microsoft YaHei"/>
      <color rgb="000000FF"/>
      <sz val="11"/>
    </font>
    <font>
      <name val="Microsoft YaHei"/>
      <b val="1"/>
      <i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7365D"/>
        <bgColor rgb="0017365D"/>
      </patternFill>
    </fill>
    <fill>
      <patternFill patternType="solid">
        <fgColor rgb="00D9E2F3"/>
        <bgColor rgb="00D9E2F3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7365D"/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10" customWidth="1" min="12" max="12"/>
    <col width="12" customWidth="1" min="13" max="13"/>
    <col width="12" customWidth="1" min="14" max="14"/>
    <col width="15" customWidth="1" min="16" max="16"/>
    <col width="15" customWidth="1" min="17" max="17"/>
  </cols>
  <sheetData>
    <row r="1">
      <c r="A1" s="1" t="inlineStr">
        <is>
          <t>A股可比公司分析 / A-Share Comparable Company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3" t="n"/>
    </row>
    <row r="2">
      <c r="A2" s="4" t="inlineStr">
        <is>
          <t>行业: 电网设备行业 (Power Grid Equipment) | 日期: 2026-03-10 | 货币: 人民币(¥M) / RMB Millions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3" t="n"/>
    </row>
    <row r="4">
      <c r="A4" s="5" t="inlineStr">
        <is>
          <t>交易乘数与运营指标 / Trading Multiples &amp; Operating Metrics (FY2024)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3" t="n"/>
    </row>
    <row r="5">
      <c r="A5" s="6" t="inlineStr">
        <is>
          <t>公司信息 / Company Info</t>
        </is>
      </c>
      <c r="B5" s="6" t="n"/>
      <c r="C5" s="6" t="n"/>
      <c r="D5" s="6" t="n"/>
      <c r="E5" s="6" t="n"/>
      <c r="F5" s="6" t="inlineStr">
        <is>
          <t>规模与盈利 / Size &amp; Profitability</t>
        </is>
      </c>
      <c r="G5" s="6" t="n"/>
      <c r="H5" s="6" t="n"/>
      <c r="I5" s="6" t="n"/>
      <c r="J5" s="6" t="n"/>
      <c r="K5" s="6" t="inlineStr">
        <is>
          <t>估值倍数 / Valuation Multiples</t>
        </is>
      </c>
      <c r="L5" s="6" t="n"/>
      <c r="M5" s="6" t="n"/>
      <c r="N5" s="6" t="n"/>
    </row>
    <row r="6" ht="40" customHeight="1">
      <c r="A6" s="7" t="inlineStr">
        <is>
          <t>代码
Ticker</t>
        </is>
      </c>
      <c r="B6" s="7" t="inlineStr">
        <is>
          <t>名称
Name</t>
        </is>
      </c>
      <c r="C6" s="7" t="inlineStr">
        <is>
          <t>股价
Price</t>
        </is>
      </c>
      <c r="D6" s="7" t="inlineStr">
        <is>
          <t>市值
Market Cap</t>
        </is>
      </c>
      <c r="E6" s="7" t="inlineStr">
        <is>
          <t>企业价值
EV</t>
        </is>
      </c>
      <c r="F6" s="7" t="inlineStr">
        <is>
          <t>营业收入
Revenue</t>
        </is>
      </c>
      <c r="G6" s="7" t="inlineStr">
        <is>
          <t>收入增速
Rev Gr%</t>
        </is>
      </c>
      <c r="H6" s="7" t="inlineStr">
        <is>
          <t>ROE
ROE%</t>
        </is>
      </c>
      <c r="I6" s="7" t="inlineStr">
        <is>
          <t>归母净利润
Net Income</t>
        </is>
      </c>
      <c r="J6" s="7" t="inlineStr">
        <is>
          <t>EBITDA
EBITDA</t>
        </is>
      </c>
      <c r="K6" s="7" t="inlineStr">
        <is>
          <t>市盈率
P/E</t>
        </is>
      </c>
      <c r="L6" s="7" t="inlineStr">
        <is>
          <t>市净率
P/B</t>
        </is>
      </c>
      <c r="M6" s="7" t="inlineStr">
        <is>
          <t>EV/EBITDA
EV/EBITDA</t>
        </is>
      </c>
      <c r="N6" s="7" t="inlineStr">
        <is>
          <t>EV/Rev
EV/Rev</t>
        </is>
      </c>
    </row>
    <row r="7">
      <c r="A7" s="8" t="inlineStr">
        <is>
          <t>600406.SH</t>
        </is>
      </c>
      <c r="B7" s="8" t="inlineStr">
        <is>
          <t>国电南瑞</t>
        </is>
      </c>
      <c r="C7" s="9" t="n">
        <v>31.5</v>
      </c>
      <c r="D7" s="10">
        <f>$C7*8036</f>
        <v/>
      </c>
      <c r="E7" s="10">
        <f>$D7+(-15000)</f>
        <v/>
      </c>
      <c r="F7" s="11" t="n">
        <v>57417</v>
      </c>
      <c r="G7" s="12" t="n">
        <v>0.111</v>
      </c>
      <c r="H7" s="12" t="n">
        <v>0.154</v>
      </c>
      <c r="I7" s="11" t="n">
        <v>7610</v>
      </c>
      <c r="J7" s="11" t="n">
        <v>10300</v>
      </c>
      <c r="K7" s="13">
        <f>IF($I7&gt;0,$D7/$I7,"NM")</f>
        <v/>
      </c>
      <c r="L7" s="13">
        <f>$D7/49224</f>
        <v/>
      </c>
      <c r="M7" s="13">
        <f>IF($J7&gt;0,$E7/$J7,"NM")</f>
        <v/>
      </c>
      <c r="N7" s="13">
        <f>$E7/$F7</f>
        <v/>
      </c>
    </row>
    <row r="8">
      <c r="A8" s="8" t="inlineStr">
        <is>
          <t>600089.SH</t>
        </is>
      </c>
      <c r="B8" s="8" t="inlineStr">
        <is>
          <t>特变电工</t>
        </is>
      </c>
      <c r="C8" s="9" t="n">
        <v>32.76</v>
      </c>
      <c r="D8" s="10">
        <f>$C8*5053</f>
        <v/>
      </c>
      <c r="E8" s="10">
        <f>$D8+(33400)</f>
        <v/>
      </c>
      <c r="F8" s="11" t="n">
        <v>97870</v>
      </c>
      <c r="G8" s="12" t="n">
        <v>-0.003</v>
      </c>
      <c r="H8" s="12" t="n">
        <v>0.064</v>
      </c>
      <c r="I8" s="11" t="n">
        <v>4130</v>
      </c>
      <c r="J8" s="11" t="n">
        <v>23265</v>
      </c>
      <c r="K8" s="13">
        <f>IF($I8&gt;0,$D8/$I8,"NM")</f>
        <v/>
      </c>
      <c r="L8" s="13">
        <f>$D8/64500</f>
        <v/>
      </c>
      <c r="M8" s="13">
        <f>IF($J8&gt;0,$E8/$J8,"NM")</f>
        <v/>
      </c>
      <c r="N8" s="13">
        <f>$E8/$F8</f>
        <v/>
      </c>
    </row>
    <row r="9">
      <c r="A9" s="8" t="inlineStr">
        <is>
          <t>000400.SZ</t>
        </is>
      </c>
      <c r="B9" s="8" t="inlineStr">
        <is>
          <t>许继电气</t>
        </is>
      </c>
      <c r="C9" s="9" t="n">
        <v>33.6</v>
      </c>
      <c r="D9" s="10">
        <f>$C9*1019</f>
        <v/>
      </c>
      <c r="E9" s="10">
        <f>$D9+(-3000)</f>
        <v/>
      </c>
      <c r="F9" s="11" t="n">
        <v>17089</v>
      </c>
      <c r="G9" s="12" t="n">
        <v>0.001</v>
      </c>
      <c r="H9" s="12" t="n">
        <v>0.101</v>
      </c>
      <c r="I9" s="11" t="n">
        <v>1117</v>
      </c>
      <c r="J9" s="11" t="n">
        <v>1650</v>
      </c>
      <c r="K9" s="13">
        <f>IF($I9&gt;0,$D9/$I9,"NM")</f>
        <v/>
      </c>
      <c r="L9" s="13">
        <f>$D9/11080</f>
        <v/>
      </c>
      <c r="M9" s="13">
        <f>IF($J9&gt;0,$E9/$J9,"NM")</f>
        <v/>
      </c>
      <c r="N9" s="13">
        <f>$E9/$F9</f>
        <v/>
      </c>
    </row>
    <row r="10">
      <c r="A10" s="8" t="inlineStr">
        <is>
          <t>002028.SZ</t>
        </is>
      </c>
      <c r="B10" s="8" t="inlineStr">
        <is>
          <t>思源电气</t>
        </is>
      </c>
      <c r="C10" s="9" t="n">
        <v>77.5</v>
      </c>
      <c r="D10" s="10">
        <f>$C10*774</f>
        <v/>
      </c>
      <c r="E10" s="10">
        <f>$D10+(-2500)</f>
        <v/>
      </c>
      <c r="F10" s="11" t="n">
        <v>15458</v>
      </c>
      <c r="G10" s="12" t="n">
        <v>0.24</v>
      </c>
      <c r="H10" s="12" t="n">
        <v>0.18</v>
      </c>
      <c r="I10" s="11" t="n">
        <v>2050</v>
      </c>
      <c r="J10" s="11" t="n">
        <v>2800</v>
      </c>
      <c r="K10" s="13">
        <f>IF($I10&gt;0,$D10/$I10,"NM")</f>
        <v/>
      </c>
      <c r="L10" s="13">
        <f>$D10/11350</f>
        <v/>
      </c>
      <c r="M10" s="13">
        <f>IF($J10&gt;0,$E10/$J10,"NM")</f>
        <v/>
      </c>
      <c r="N10" s="13">
        <f>$E10/$F10</f>
        <v/>
      </c>
    </row>
    <row r="11">
      <c r="A11" s="8" t="inlineStr">
        <is>
          <t>600312.SH</t>
        </is>
      </c>
      <c r="B11" s="8" t="inlineStr">
        <is>
          <t>平高电气</t>
        </is>
      </c>
      <c r="C11" s="9" t="n">
        <v>25.03</v>
      </c>
      <c r="D11" s="10">
        <f>$C11*1357</f>
        <v/>
      </c>
      <c r="E11" s="10">
        <f>$D11+(-1500)</f>
        <v/>
      </c>
      <c r="F11" s="11" t="n">
        <v>12400</v>
      </c>
      <c r="G11" s="12" t="n">
        <v>0.12</v>
      </c>
      <c r="H11" s="12" t="n">
        <v>0.097</v>
      </c>
      <c r="I11" s="11" t="n">
        <v>1020</v>
      </c>
      <c r="J11" s="11" t="n">
        <v>1400</v>
      </c>
      <c r="K11" s="13">
        <f>IF($I11&gt;0,$D11/$I11,"NM")</f>
        <v/>
      </c>
      <c r="L11" s="13">
        <f>$D11/10440</f>
        <v/>
      </c>
      <c r="M11" s="13">
        <f>IF($J11&gt;0,$E11/$J11,"NM")</f>
        <v/>
      </c>
      <c r="N11" s="13">
        <f>$E11/$F11</f>
        <v/>
      </c>
    </row>
    <row r="12">
      <c r="A12" s="6" t="inlineStr">
        <is>
          <t>统计数据 / STATISTICS</t>
        </is>
      </c>
      <c r="B12" s="6" t="n"/>
      <c r="C12" s="6" t="n"/>
      <c r="D12" s="6" t="n"/>
      <c r="E12" s="6" t="n"/>
    </row>
    <row r="13">
      <c r="A13" s="14" t="inlineStr">
        <is>
          <t>最大值 / Maximum</t>
        </is>
      </c>
      <c r="B13" s="2" t="n"/>
      <c r="C13" s="2" t="n"/>
      <c r="D13" s="2" t="n"/>
      <c r="E13" s="3" t="n"/>
      <c r="F13" s="15">
        <f>MAX(F7:F11)</f>
        <v/>
      </c>
      <c r="G13" s="16">
        <f>MAX(G7:G11)</f>
        <v/>
      </c>
      <c r="H13" s="16">
        <f>MAX(H7:H11)</f>
        <v/>
      </c>
      <c r="I13" s="15">
        <f>MAX(I7:I11)</f>
        <v/>
      </c>
      <c r="J13" s="15">
        <f>MAX(J7:J11)</f>
        <v/>
      </c>
      <c r="K13" s="17">
        <f>IFERROR(=MAX(K7:K11), "NM")</f>
        <v/>
      </c>
      <c r="L13" s="17">
        <f>IFERROR(=MAX(L7:L11), "NM")</f>
        <v/>
      </c>
      <c r="M13" s="17">
        <f>IFERROR(=MAX(M7:M11), "NM")</f>
        <v/>
      </c>
      <c r="N13" s="17">
        <f>IFERROR(=MAX(N7:N11), "NM")</f>
        <v/>
      </c>
    </row>
    <row r="14">
      <c r="A14" s="14" t="inlineStr">
        <is>
          <t>75% 分位 / 75th Percentile</t>
        </is>
      </c>
      <c r="B14" s="2" t="n"/>
      <c r="C14" s="2" t="n"/>
      <c r="D14" s="2" t="n"/>
      <c r="E14" s="3" t="n"/>
      <c r="F14" s="15">
        <f>QUARTILE.INC(F7:F11, 3)</f>
        <v/>
      </c>
      <c r="G14" s="16">
        <f>QUARTILE.INC(G7:G11, 3)</f>
        <v/>
      </c>
      <c r="H14" s="16">
        <f>QUARTILE.INC(H7:H11, 3)</f>
        <v/>
      </c>
      <c r="I14" s="15">
        <f>QUARTILE.INC(I7:I11, 3)</f>
        <v/>
      </c>
      <c r="J14" s="15">
        <f>QUARTILE.INC(J7:J11, 3)</f>
        <v/>
      </c>
      <c r="K14" s="17">
        <f>IFERROR(=QUARTILE.INC(K7:K11, 3), "NM")</f>
        <v/>
      </c>
      <c r="L14" s="17">
        <f>IFERROR(=QUARTILE.INC(L7:L11, 3), "NM")</f>
        <v/>
      </c>
      <c r="M14" s="17">
        <f>IFERROR(=QUARTILE.INC(M7:M11, 3), "NM")</f>
        <v/>
      </c>
      <c r="N14" s="17">
        <f>IFERROR(=QUARTILE.INC(N7:N11, 3), "NM")</f>
        <v/>
      </c>
    </row>
    <row r="15">
      <c r="A15" s="14" t="inlineStr">
        <is>
          <t>中位数 / Median</t>
        </is>
      </c>
      <c r="B15" s="2" t="n"/>
      <c r="C15" s="2" t="n"/>
      <c r="D15" s="2" t="n"/>
      <c r="E15" s="3" t="n"/>
      <c r="F15" s="15">
        <f>MEDIAN(F7:F11)</f>
        <v/>
      </c>
      <c r="G15" s="16">
        <f>MEDIAN(G7:G11)</f>
        <v/>
      </c>
      <c r="H15" s="16">
        <f>MEDIAN(H7:H11)</f>
        <v/>
      </c>
      <c r="I15" s="15">
        <f>MEDIAN(I7:I11)</f>
        <v/>
      </c>
      <c r="J15" s="15">
        <f>MEDIAN(J7:J11)</f>
        <v/>
      </c>
      <c r="K15" s="17">
        <f>IFERROR(=MEDIAN(K7:K11), "NM")</f>
        <v/>
      </c>
      <c r="L15" s="17">
        <f>IFERROR(=MEDIAN(L7:L11), "NM")</f>
        <v/>
      </c>
      <c r="M15" s="17">
        <f>IFERROR(=MEDIAN(M7:M11), "NM")</f>
        <v/>
      </c>
      <c r="N15" s="17">
        <f>IFERROR(=MEDIAN(N7:N11), "NM")</f>
        <v/>
      </c>
    </row>
    <row r="16">
      <c r="A16" s="14" t="inlineStr">
        <is>
          <t>平均值 / Mean</t>
        </is>
      </c>
      <c r="B16" s="2" t="n"/>
      <c r="C16" s="2" t="n"/>
      <c r="D16" s="2" t="n"/>
      <c r="E16" s="3" t="n"/>
      <c r="F16" s="15">
        <f>AVERAGE(F7:F11)</f>
        <v/>
      </c>
      <c r="G16" s="16">
        <f>AVERAGE(G7:G11)</f>
        <v/>
      </c>
      <c r="H16" s="16">
        <f>AVERAGE(H7:H11)</f>
        <v/>
      </c>
      <c r="I16" s="15">
        <f>AVERAGE(I7:I11)</f>
        <v/>
      </c>
      <c r="J16" s="15">
        <f>AVERAGE(J7:J11)</f>
        <v/>
      </c>
      <c r="K16" s="17">
        <f>IFERROR(=AVERAGE(K7:K11), "NM")</f>
        <v/>
      </c>
      <c r="L16" s="17">
        <f>IFERROR(=AVERAGE(L7:L11), "NM")</f>
        <v/>
      </c>
      <c r="M16" s="17">
        <f>IFERROR(=AVERAGE(M7:M11), "NM")</f>
        <v/>
      </c>
      <c r="N16" s="17">
        <f>IFERROR(=AVERAGE(N7:N11), "NM")</f>
        <v/>
      </c>
    </row>
    <row r="17">
      <c r="A17" s="14" t="inlineStr">
        <is>
          <t>25% 分位 / 25th Percentile</t>
        </is>
      </c>
      <c r="B17" s="2" t="n"/>
      <c r="C17" s="2" t="n"/>
      <c r="D17" s="2" t="n"/>
      <c r="E17" s="3" t="n"/>
      <c r="F17" s="15">
        <f>QUARTILE.INC(F7:F11, 1)</f>
        <v/>
      </c>
      <c r="G17" s="16">
        <f>QUARTILE.INC(G7:G11, 1)</f>
        <v/>
      </c>
      <c r="H17" s="16">
        <f>QUARTILE.INC(H7:H11, 1)</f>
        <v/>
      </c>
      <c r="I17" s="15">
        <f>QUARTILE.INC(I7:I11, 1)</f>
        <v/>
      </c>
      <c r="J17" s="15">
        <f>QUARTILE.INC(J7:J11, 1)</f>
        <v/>
      </c>
      <c r="K17" s="17">
        <f>IFERROR(=QUARTILE.INC(K7:K11, 1), "NM")</f>
        <v/>
      </c>
      <c r="L17" s="17">
        <f>IFERROR(=QUARTILE.INC(L7:L11, 1), "NM")</f>
        <v/>
      </c>
      <c r="M17" s="17">
        <f>IFERROR(=QUARTILE.INC(M7:M11, 1), "NM")</f>
        <v/>
      </c>
      <c r="N17" s="17">
        <f>IFERROR(=QUARTILE.INC(N7:N11, 1), "NM")</f>
        <v/>
      </c>
    </row>
    <row r="18">
      <c r="A18" s="14" t="inlineStr">
        <is>
          <t>最小值 / Minimum</t>
        </is>
      </c>
      <c r="B18" s="2" t="n"/>
      <c r="C18" s="2" t="n"/>
      <c r="D18" s="2" t="n"/>
      <c r="E18" s="3" t="n"/>
      <c r="F18" s="15">
        <f>MIN(F7:F11)</f>
        <v/>
      </c>
      <c r="G18" s="16">
        <f>MIN(G7:G11)</f>
        <v/>
      </c>
      <c r="H18" s="16">
        <f>MIN(H7:H11)</f>
        <v/>
      </c>
      <c r="I18" s="15">
        <f>MIN(I7:I11)</f>
        <v/>
      </c>
      <c r="J18" s="15">
        <f>MIN(J7:J11)</f>
        <v/>
      </c>
      <c r="K18" s="17">
        <f>IFERROR(=MIN(K7:K11), "NM")</f>
        <v/>
      </c>
      <c r="L18" s="17">
        <f>IFERROR(=MIN(L7:L11), "NM")</f>
        <v/>
      </c>
      <c r="M18" s="17">
        <f>IFERROR(=MIN(M7:M11), "NM")</f>
        <v/>
      </c>
      <c r="N18" s="17">
        <f>IFERROR(=MIN(N7:N11), "NM")</f>
        <v/>
      </c>
    </row>
    <row r="21">
      <c r="A21" s="5" t="inlineStr">
        <is>
          <t>行业观察 / SECTOR INSIGHTS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3" t="n"/>
    </row>
    <row r="22" ht="25" customHeight="1">
      <c r="A22" s="18" t="inlineStr">
        <is>
          <t>1. 特高压超级周期 (Super-Cycle): 受国家电网“十五五”4万亿投资预期及出海需求共振，电网设备板块整体处于历史估值高位 (PE达30x+)。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3" t="n"/>
    </row>
    <row r="23" ht="25" customHeight="1">
      <c r="A23" s="18" t="inlineStr">
        <is>
          <t>2. 龙头国电南瑞 (600406): 依然保持电网二次设备绝对龙头地位，净利润及ROE表现稳健。其29.6x PE代表了板块核心中枢。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3" t="n"/>
    </row>
    <row r="24" ht="25" customHeight="1">
      <c r="A24" s="18" t="inlineStr">
        <is>
          <t>3. 出海领军思源电气 (002028): 凭借强劲的海外订单收入(增速24%)以及最高的ROE(18%)，享有明显的估值溢价 (PE近30x，当前静态数据或存在扰动)。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3" t="n"/>
    </row>
    <row r="25" ht="25" customHeight="1">
      <c r="A25" s="18" t="inlineStr">
        <is>
          <t>4. 特变电工 (600089): 估值分歧最大。尽管营收规模最大(978亿)，但由于多晶硅业务严重拖累(影响净利润与ROE)，其EV/EBITDA (约8x) 显著低于纯电网设备企业(20x+)。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3" t="n"/>
    </row>
    <row r="26" ht="25" customHeight="1">
      <c r="A26" s="18" t="inlineStr">
        <is>
          <t>5. 整体而言: 纯电网资产(南瑞、思源、许继、平高)受到市场资金的高度追捧，而含有光伏/新能源上游资产的综合型公司(特变)则面临估值折价。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3" t="n"/>
    </row>
  </sheetData>
  <mergeCells count="15">
    <mergeCell ref="A22:N22"/>
    <mergeCell ref="A16:E16"/>
    <mergeCell ref="A4:N4"/>
    <mergeCell ref="A15:E15"/>
    <mergeCell ref="A26:N26"/>
    <mergeCell ref="A21:N21"/>
    <mergeCell ref="A2:N2"/>
    <mergeCell ref="A24:N24"/>
    <mergeCell ref="A25:N25"/>
    <mergeCell ref="A13:E13"/>
    <mergeCell ref="A14:E14"/>
    <mergeCell ref="A23:N23"/>
    <mergeCell ref="A17:E17"/>
    <mergeCell ref="A18:E18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2026-03-10T06:03:23Z</dcterms:created>
  <dcterms:modified xsi:type="dcterms:W3CDTF">2026-03-10T06:03:23Z</dcterms:modified>
</cp:coreProperties>
</file>