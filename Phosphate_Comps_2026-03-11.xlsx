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¥#,##0.00"/>
    <numFmt numFmtId="165" formatCode="0.0%"/>
    <numFmt numFmtId="166" formatCode="0.0&quot;x&quot;"/>
  </numFmts>
  <fonts count="7">
    <font>
      <name val="Calibri"/>
      <family val="2"/>
      <color theme="1"/>
      <sz val="11"/>
      <scheme val="minor"/>
    </font>
    <font>
      <name val="Microsoft YaHei"/>
      <b val="1"/>
      <color rgb="00000000"/>
      <sz val="14"/>
    </font>
    <font>
      <name val="Microsoft YaHei"/>
      <color rgb="00000000"/>
      <sz val="11"/>
    </font>
    <font>
      <name val="Microsoft YaHei"/>
      <b val="1"/>
      <color rgb="00FFFFFF"/>
      <sz val="12"/>
    </font>
    <font>
      <name val="Microsoft YaHei"/>
      <b val="1"/>
      <color rgb="00000000"/>
      <sz val="11"/>
    </font>
    <font>
      <name val="Microsoft YaHei"/>
      <color rgb="000000FF"/>
      <sz val="11"/>
    </font>
    <font>
      <name val="Microsoft YaHei"/>
      <b val="1"/>
      <i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7365D"/>
        <bgColor rgb="0017365D"/>
      </patternFill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13" customWidth="1" min="5" max="5"/>
    <col width="13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12" customWidth="1" min="15" max="15"/>
    <col width="10" customWidth="1" min="16" max="16"/>
  </cols>
  <sheetData>
    <row r="1">
      <c r="A1" s="1" t="inlineStr">
        <is>
          <t>A股可比公司分析 / A-Share Comparable Company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>
      <c r="A2" s="4" t="inlineStr">
        <is>
          <t>行业: 磷化工 (Phosphate Chemical Sector) | 日期: 2026-03-11 | 货币: 人民币(¥M) / RMB Millions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4">
      <c r="A4" s="5" t="inlineStr">
        <is>
          <t>交易乘数与运营指标 / Trading Multiples &amp; Operating Metrics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3" t="n"/>
    </row>
    <row r="5">
      <c r="A5" s="6" t="inlineStr">
        <is>
          <t>公司信息 / Company</t>
        </is>
      </c>
      <c r="B5" s="6" t="n"/>
      <c r="C5" s="6" t="n"/>
      <c r="D5" s="6" t="n"/>
      <c r="E5" s="6" t="n"/>
      <c r="F5" s="6" t="inlineStr">
        <is>
          <t>规模与盈利 / Size &amp; Profitability</t>
        </is>
      </c>
      <c r="G5" s="6" t="n"/>
      <c r="H5" s="6" t="n"/>
      <c r="I5" s="6" t="n"/>
      <c r="J5" s="6" t="n"/>
      <c r="K5" s="6" t="n"/>
      <c r="L5" s="6" t="n"/>
      <c r="M5" s="6" t="inlineStr">
        <is>
          <t>估值倍数 / Valuation</t>
        </is>
      </c>
      <c r="N5" s="6" t="n"/>
      <c r="O5" s="6" t="n"/>
      <c r="P5" s="6" t="n"/>
    </row>
    <row r="6" ht="40" customHeight="1">
      <c r="A6" s="7" t="inlineStr">
        <is>
          <t>代码
Ticker</t>
        </is>
      </c>
      <c r="B6" s="7" t="inlineStr">
        <is>
          <t>名称
Name</t>
        </is>
      </c>
      <c r="C6" s="7" t="inlineStr">
        <is>
          <t>股价
Price</t>
        </is>
      </c>
      <c r="D6" s="7" t="inlineStr">
        <is>
          <t>市值
Market Cap</t>
        </is>
      </c>
      <c r="E6" s="7" t="inlineStr">
        <is>
          <t>企业价值
EV</t>
        </is>
      </c>
      <c r="F6" s="7" t="inlineStr">
        <is>
          <t>营业收入
Revenue</t>
        </is>
      </c>
      <c r="G6" s="7" t="inlineStr">
        <is>
          <t>收入增速
Rev Gr%</t>
        </is>
      </c>
      <c r="H6" s="7" t="inlineStr">
        <is>
          <t>毛利率
Gross%</t>
        </is>
      </c>
      <c r="I6" s="7" t="inlineStr">
        <is>
          <t>ROE
ROE%</t>
        </is>
      </c>
      <c r="J6" s="7" t="inlineStr">
        <is>
          <t>归母净利
Net Income</t>
        </is>
      </c>
      <c r="K6" s="7" t="inlineStr">
        <is>
          <t>EBITDA
EBITDA</t>
        </is>
      </c>
      <c r="L6" s="7" t="inlineStr">
        <is>
          <t>净利率
Net Mgn%</t>
        </is>
      </c>
      <c r="M6" s="7" t="inlineStr">
        <is>
          <t>市盈率
P/E</t>
        </is>
      </c>
      <c r="N6" s="7" t="inlineStr">
        <is>
          <t>市净率
P/B</t>
        </is>
      </c>
      <c r="O6" s="7" t="inlineStr">
        <is>
          <t>EV/EBITDA
EV/EBITDA</t>
        </is>
      </c>
      <c r="P6" s="7" t="inlineStr">
        <is>
          <t>EV/Rev
EV/Rev</t>
        </is>
      </c>
    </row>
    <row r="7">
      <c r="A7" s="8" t="inlineStr">
        <is>
          <t>600096.SH</t>
        </is>
      </c>
      <c r="B7" s="8" t="inlineStr">
        <is>
          <t>云天化</t>
        </is>
      </c>
      <c r="C7" s="9" t="n">
        <v>41.15</v>
      </c>
      <c r="D7" s="10">
        <f>$C7*1834.3</f>
        <v/>
      </c>
      <c r="E7" s="10">
        <f>$D7+(8906)</f>
        <v/>
      </c>
      <c r="F7" s="11" t="n">
        <v>61537</v>
      </c>
      <c r="G7" s="12" t="n">
        <v>-0.021</v>
      </c>
      <c r="H7" s="12" t="n">
        <v>0.175</v>
      </c>
      <c r="I7" s="12" t="n">
        <v>0.2385</v>
      </c>
      <c r="J7" s="11" t="n">
        <v>5333</v>
      </c>
      <c r="K7" s="11" t="n">
        <v>9854</v>
      </c>
      <c r="L7" s="13">
        <f>$J7/$F7</f>
        <v/>
      </c>
      <c r="M7" s="14">
        <f>IF($J7&gt;0,$D7/$J7,"NM")</f>
        <v/>
      </c>
      <c r="N7" s="14">
        <f>$D7/22360</f>
        <v/>
      </c>
      <c r="O7" s="14">
        <f>IF($K7&gt;0,$E7/$K7,"NM")</f>
        <v/>
      </c>
      <c r="P7" s="14">
        <f>$E7/$F7</f>
        <v/>
      </c>
    </row>
    <row r="8">
      <c r="A8" s="8" t="inlineStr">
        <is>
          <t>600141.SH</t>
        </is>
      </c>
      <c r="B8" s="8" t="inlineStr">
        <is>
          <t>兴发集团</t>
        </is>
      </c>
      <c r="C8" s="9" t="n">
        <v>40.55</v>
      </c>
      <c r="D8" s="10">
        <f>$C8*1103.3</f>
        <v/>
      </c>
      <c r="E8" s="10">
        <f>$D8+(15800)</f>
        <v/>
      </c>
      <c r="F8" s="11" t="n">
        <v>28396</v>
      </c>
      <c r="G8" s="12" t="n">
        <v>0.038</v>
      </c>
      <c r="H8" s="12" t="n">
        <v>0.168</v>
      </c>
      <c r="I8" s="12" t="n">
        <v>0.0603</v>
      </c>
      <c r="J8" s="11" t="n">
        <v>1619</v>
      </c>
      <c r="K8" s="11" t="n">
        <v>4770</v>
      </c>
      <c r="L8" s="13">
        <f>$J8/$F8</f>
        <v/>
      </c>
      <c r="M8" s="14">
        <f>IF($J8&gt;0,$D8/$J8,"NM")</f>
        <v/>
      </c>
      <c r="N8" s="14">
        <f>$D8/21463</f>
        <v/>
      </c>
      <c r="O8" s="14">
        <f>IF($K8&gt;0,$E8/$K8,"NM")</f>
        <v/>
      </c>
      <c r="P8" s="14">
        <f>$E8/$F8</f>
        <v/>
      </c>
    </row>
    <row r="9">
      <c r="A9" s="8" t="inlineStr">
        <is>
          <t>000422.SZ</t>
        </is>
      </c>
      <c r="B9" s="8" t="inlineStr">
        <is>
          <t>湖北宜化</t>
        </is>
      </c>
      <c r="C9" s="9" t="n">
        <v>17.55</v>
      </c>
      <c r="D9" s="10">
        <f>$C9*1084.0</f>
        <v/>
      </c>
      <c r="E9" s="10">
        <f>$D9+(8900)</f>
        <v/>
      </c>
      <c r="F9" s="11" t="n">
        <v>16964</v>
      </c>
      <c r="G9" s="12" t="n">
        <v>-0.005</v>
      </c>
      <c r="H9" s="12" t="n">
        <v>0.137</v>
      </c>
      <c r="I9" s="12" t="n">
        <v>0.0886</v>
      </c>
      <c r="J9" s="11" t="n">
        <v>653</v>
      </c>
      <c r="K9" s="11" t="n">
        <v>1900</v>
      </c>
      <c r="L9" s="13">
        <f>$J9/$F9</f>
        <v/>
      </c>
      <c r="M9" s="14">
        <f>IF($J9&gt;0,$D9/$J9,"NM")</f>
        <v/>
      </c>
      <c r="N9" s="14">
        <f>$D9/8800</f>
        <v/>
      </c>
      <c r="O9" s="14">
        <f>IF($K9&gt;0,$E9/$K9,"NM")</f>
        <v/>
      </c>
      <c r="P9" s="14">
        <f>$E9/$F9</f>
        <v/>
      </c>
    </row>
    <row r="10">
      <c r="A10" s="8" t="inlineStr">
        <is>
          <t>002895.SZ</t>
        </is>
      </c>
      <c r="B10" s="8" t="inlineStr">
        <is>
          <t>川恒股份</t>
        </is>
      </c>
      <c r="C10" s="9" t="n">
        <v>43.86</v>
      </c>
      <c r="D10" s="10">
        <f>$C10*542.0</f>
        <v/>
      </c>
      <c r="E10" s="10">
        <f>$D10+(1705)</f>
        <v/>
      </c>
      <c r="F10" s="11" t="n">
        <v>5906</v>
      </c>
      <c r="G10" s="12" t="n">
        <v>0.367</v>
      </c>
      <c r="H10" s="12" t="n">
        <v>0.331</v>
      </c>
      <c r="I10" s="12" t="n">
        <v>0.1603</v>
      </c>
      <c r="J10" s="11" t="n">
        <v>956</v>
      </c>
      <c r="K10" s="11" t="n">
        <v>1680</v>
      </c>
      <c r="L10" s="13">
        <f>$J10/$F10</f>
        <v/>
      </c>
      <c r="M10" s="14">
        <f>IF($J10&gt;0,$D10/$J10,"NM")</f>
        <v/>
      </c>
      <c r="N10" s="14">
        <f>$D10/5980</f>
        <v/>
      </c>
      <c r="O10" s="14">
        <f>IF($K10&gt;0,$E10/$K10,"NM")</f>
        <v/>
      </c>
      <c r="P10" s="14">
        <f>$E10/$F10</f>
        <v/>
      </c>
    </row>
    <row r="11">
      <c r="A11" s="8" t="inlineStr">
        <is>
          <t>002312.SZ</t>
        </is>
      </c>
      <c r="B11" s="8" t="inlineStr">
        <is>
          <t>川发龙蟒</t>
        </is>
      </c>
      <c r="C11" s="9" t="n">
        <v>12.88</v>
      </c>
      <c r="D11" s="10">
        <f>$C11*1889.0</f>
        <v/>
      </c>
      <c r="E11" s="10">
        <f>$D11+(4200)</f>
        <v/>
      </c>
      <c r="F11" s="11" t="n">
        <v>8178</v>
      </c>
      <c r="G11" s="12" t="n">
        <v>0.061</v>
      </c>
      <c r="H11" s="12" t="n">
        <v>0.143</v>
      </c>
      <c r="I11" s="12" t="n">
        <v>0.0564</v>
      </c>
      <c r="J11" s="11" t="n">
        <v>533</v>
      </c>
      <c r="K11" s="11" t="n">
        <v>1450</v>
      </c>
      <c r="L11" s="13">
        <f>$J11/$F11</f>
        <v/>
      </c>
      <c r="M11" s="14">
        <f>IF($J11&gt;0,$D11/$J11,"NM")</f>
        <v/>
      </c>
      <c r="N11" s="14">
        <f>$D11/9656</f>
        <v/>
      </c>
      <c r="O11" s="14">
        <f>IF($K11&gt;0,$E11/$K11,"NM")</f>
        <v/>
      </c>
      <c r="P11" s="14">
        <f>$E11/$F11</f>
        <v/>
      </c>
    </row>
    <row r="12">
      <c r="A12" s="8" t="inlineStr">
        <is>
          <t>000902.SZ</t>
        </is>
      </c>
      <c r="B12" s="8" t="inlineStr">
        <is>
          <t>新洋丰</t>
        </is>
      </c>
      <c r="C12" s="9" t="n">
        <v>18.14</v>
      </c>
      <c r="D12" s="10">
        <f>$C12*1255.0</f>
        <v/>
      </c>
      <c r="E12" s="10">
        <f>$D12+(2850)</f>
        <v/>
      </c>
      <c r="F12" s="11" t="n">
        <v>15563</v>
      </c>
      <c r="G12" s="12" t="n">
        <v>0.031</v>
      </c>
      <c r="H12" s="12" t="n">
        <v>0.161</v>
      </c>
      <c r="I12" s="12" t="n">
        <v>0.131</v>
      </c>
      <c r="J12" s="11" t="n">
        <v>1315</v>
      </c>
      <c r="K12" s="11" t="n">
        <v>2480</v>
      </c>
      <c r="L12" s="13">
        <f>$J12/$F12</f>
        <v/>
      </c>
      <c r="M12" s="14">
        <f>IF($J12&gt;0,$D12/$J12,"NM")</f>
        <v/>
      </c>
      <c r="N12" s="14">
        <f>$D12/10500</f>
        <v/>
      </c>
      <c r="O12" s="14">
        <f>IF($K12&gt;0,$E12/$K12,"NM")</f>
        <v/>
      </c>
      <c r="P12" s="14">
        <f>$E12/$F12</f>
        <v/>
      </c>
    </row>
    <row r="13">
      <c r="A13" s="6" t="inlineStr">
        <is>
          <t>统计数据 / STATISTICS</t>
        </is>
      </c>
      <c r="B13" s="6" t="n"/>
      <c r="C13" s="6" t="n"/>
      <c r="D13" s="6" t="n"/>
      <c r="E13" s="6" t="n"/>
    </row>
    <row r="14">
      <c r="A14" s="15" t="inlineStr">
        <is>
          <t>最大值 / Maximum</t>
        </is>
      </c>
      <c r="B14" s="2" t="n"/>
      <c r="C14" s="2" t="n"/>
      <c r="D14" s="2" t="n"/>
      <c r="E14" s="3" t="n"/>
      <c r="F14" s="16" t="inlineStr"/>
      <c r="G14" s="17">
        <f>MAX(G7:G12)</f>
        <v/>
      </c>
      <c r="H14" s="17">
        <f>MAX(H7:H12)</f>
        <v/>
      </c>
      <c r="I14" s="17">
        <f>MAX(I7:I12)</f>
        <v/>
      </c>
      <c r="J14" s="16" t="inlineStr"/>
      <c r="K14" s="16" t="inlineStr"/>
      <c r="L14" s="17">
        <f>MAX(L7:L12)</f>
        <v/>
      </c>
      <c r="M14" s="18">
        <f>IFERROR(MAX(M7:M12), "NM")</f>
        <v/>
      </c>
      <c r="N14" s="18">
        <f>IFERROR(MAX(N7:N12), "NM")</f>
        <v/>
      </c>
      <c r="O14" s="18">
        <f>IFERROR(MAX(O7:O12), "NM")</f>
        <v/>
      </c>
      <c r="P14" s="18">
        <f>IFERROR(MAX(P7:P12), "NM")</f>
        <v/>
      </c>
    </row>
    <row r="15">
      <c r="A15" s="15" t="inlineStr">
        <is>
          <t>75% 分位 / 75th Percentile</t>
        </is>
      </c>
      <c r="B15" s="2" t="n"/>
      <c r="C15" s="2" t="n"/>
      <c r="D15" s="2" t="n"/>
      <c r="E15" s="3" t="n"/>
      <c r="F15" s="16" t="inlineStr"/>
      <c r="G15" s="17">
        <f>QUARTILE.INC(G7:G12, 3)</f>
        <v/>
      </c>
      <c r="H15" s="17">
        <f>QUARTILE.INC(H7:H12, 3)</f>
        <v/>
      </c>
      <c r="I15" s="17">
        <f>QUARTILE.INC(I7:I12, 3)</f>
        <v/>
      </c>
      <c r="J15" s="16" t="inlineStr"/>
      <c r="K15" s="16" t="inlineStr"/>
      <c r="L15" s="17">
        <f>QUARTILE.INC(L7:L12, 3)</f>
        <v/>
      </c>
      <c r="M15" s="18">
        <f>IFERROR(QUARTILE.INC(M7:M12, 3), "NM")</f>
        <v/>
      </c>
      <c r="N15" s="18">
        <f>IFERROR(QUARTILE.INC(N7:N12, 3), "NM")</f>
        <v/>
      </c>
      <c r="O15" s="18">
        <f>IFERROR(QUARTILE.INC(O7:O12, 3), "NM")</f>
        <v/>
      </c>
      <c r="P15" s="18">
        <f>IFERROR(QUARTILE.INC(P7:P12, 3), "NM")</f>
        <v/>
      </c>
    </row>
    <row r="16">
      <c r="A16" s="15" t="inlineStr">
        <is>
          <t>中位数 / Median</t>
        </is>
      </c>
      <c r="B16" s="2" t="n"/>
      <c r="C16" s="2" t="n"/>
      <c r="D16" s="2" t="n"/>
      <c r="E16" s="3" t="n"/>
      <c r="F16" s="16" t="inlineStr"/>
      <c r="G16" s="17">
        <f>MEDIAN(G7:G12)</f>
        <v/>
      </c>
      <c r="H16" s="17">
        <f>MEDIAN(H7:H12)</f>
        <v/>
      </c>
      <c r="I16" s="17">
        <f>MEDIAN(I7:I12)</f>
        <v/>
      </c>
      <c r="J16" s="16" t="inlineStr"/>
      <c r="K16" s="16" t="inlineStr"/>
      <c r="L16" s="17">
        <f>MEDIAN(L7:L12)</f>
        <v/>
      </c>
      <c r="M16" s="18">
        <f>IFERROR(MEDIAN(M7:M12), "NM")</f>
        <v/>
      </c>
      <c r="N16" s="18">
        <f>IFERROR(MEDIAN(N7:N12), "NM")</f>
        <v/>
      </c>
      <c r="O16" s="18">
        <f>IFERROR(MEDIAN(O7:O12), "NM")</f>
        <v/>
      </c>
      <c r="P16" s="18">
        <f>IFERROR(MEDIAN(P7:P12), "NM")</f>
        <v/>
      </c>
    </row>
    <row r="17">
      <c r="A17" s="15" t="inlineStr">
        <is>
          <t>平均值 / Mean</t>
        </is>
      </c>
      <c r="B17" s="2" t="n"/>
      <c r="C17" s="2" t="n"/>
      <c r="D17" s="2" t="n"/>
      <c r="E17" s="3" t="n"/>
      <c r="F17" s="16" t="inlineStr"/>
      <c r="G17" s="17">
        <f>AVERAGE(G7:G12)</f>
        <v/>
      </c>
      <c r="H17" s="17">
        <f>AVERAGE(H7:H12)</f>
        <v/>
      </c>
      <c r="I17" s="17">
        <f>AVERAGE(I7:I12)</f>
        <v/>
      </c>
      <c r="J17" s="16" t="inlineStr"/>
      <c r="K17" s="16" t="inlineStr"/>
      <c r="L17" s="17">
        <f>AVERAGE(L7:L12)</f>
        <v/>
      </c>
      <c r="M17" s="18">
        <f>IFERROR(AVERAGE(M7:M12), "NM")</f>
        <v/>
      </c>
      <c r="N17" s="18">
        <f>IFERROR(AVERAGE(N7:N12), "NM")</f>
        <v/>
      </c>
      <c r="O17" s="18">
        <f>IFERROR(AVERAGE(O7:O12), "NM")</f>
        <v/>
      </c>
      <c r="P17" s="18">
        <f>IFERROR(AVERAGE(P7:P12), "NM")</f>
        <v/>
      </c>
    </row>
    <row r="18">
      <c r="A18" s="15" t="inlineStr">
        <is>
          <t>25% 分位 / 25th Percentile</t>
        </is>
      </c>
      <c r="B18" s="2" t="n"/>
      <c r="C18" s="2" t="n"/>
      <c r="D18" s="2" t="n"/>
      <c r="E18" s="3" t="n"/>
      <c r="F18" s="16" t="inlineStr"/>
      <c r="G18" s="17">
        <f>QUARTILE.INC(G7:G12, 1)</f>
        <v/>
      </c>
      <c r="H18" s="17">
        <f>QUARTILE.INC(H7:H12, 1)</f>
        <v/>
      </c>
      <c r="I18" s="17">
        <f>QUARTILE.INC(I7:I12, 1)</f>
        <v/>
      </c>
      <c r="J18" s="16" t="inlineStr"/>
      <c r="K18" s="16" t="inlineStr"/>
      <c r="L18" s="17">
        <f>QUARTILE.INC(L7:L12, 1)</f>
        <v/>
      </c>
      <c r="M18" s="18">
        <f>IFERROR(QUARTILE.INC(M7:M12, 1), "NM")</f>
        <v/>
      </c>
      <c r="N18" s="18">
        <f>IFERROR(QUARTILE.INC(N7:N12, 1), "NM")</f>
        <v/>
      </c>
      <c r="O18" s="18">
        <f>IFERROR(QUARTILE.INC(O7:O12, 1), "NM")</f>
        <v/>
      </c>
      <c r="P18" s="18">
        <f>IFERROR(QUARTILE.INC(P7:P12, 1), "NM")</f>
        <v/>
      </c>
    </row>
    <row r="19">
      <c r="A19" s="15" t="inlineStr">
        <is>
          <t>最小值 / Minimum</t>
        </is>
      </c>
      <c r="B19" s="2" t="n"/>
      <c r="C19" s="2" t="n"/>
      <c r="D19" s="2" t="n"/>
      <c r="E19" s="3" t="n"/>
      <c r="F19" s="16" t="inlineStr"/>
      <c r="G19" s="17">
        <f>MIN(G7:G12)</f>
        <v/>
      </c>
      <c r="H19" s="17">
        <f>MIN(H7:H12)</f>
        <v/>
      </c>
      <c r="I19" s="17">
        <f>MIN(I7:I12)</f>
        <v/>
      </c>
      <c r="J19" s="16" t="inlineStr"/>
      <c r="K19" s="16" t="inlineStr"/>
      <c r="L19" s="17">
        <f>MIN(L7:L12)</f>
        <v/>
      </c>
      <c r="M19" s="18">
        <f>IFERROR(MIN(M7:M12), "NM")</f>
        <v/>
      </c>
      <c r="N19" s="18">
        <f>IFERROR(MIN(N7:N12), "NM")</f>
        <v/>
      </c>
      <c r="O19" s="18">
        <f>IFERROR(MIN(O7:O12), "NM")</f>
        <v/>
      </c>
      <c r="P19" s="18">
        <f>IFERROR(MIN(P7:P12), "NM")</f>
        <v/>
      </c>
    </row>
    <row r="22">
      <c r="A22" s="5" t="inlineStr">
        <is>
          <t>行业观察 / SECTOR INSIGHTS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3" t="n"/>
    </row>
    <row r="23" ht="25" customHeight="1">
      <c r="A23" s="19" t="inlineStr">
        <is>
          <t>1. 行业格局 (Industry Landscape): 磷化工行业正从传统磷肥向「肥料+精细化工+新能源材料」三足鼎立格局转型。磷矿石作为战略性稀缺资源，供需偏紧格局持续，拥有上游磷矿资源的企业享有显著竞争壁垒。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3" t="n"/>
    </row>
    <row r="24" ht="25" customHeight="1">
      <c r="A24" s="19" t="inlineStr">
        <is>
          <t>2. 云天化 (600096): 行业绝对龙头，国内唯一磷矿100%自给企业。FY2024营收615亿、归母净利53亿，ROE高达23.9%。已布局磷酸铁产能50万吨(2026E)及固态电池磷材料。P/E约14x，估值显著低于行业均值，反映市场对磷肥周期波动担忧。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3" t="n"/>
    </row>
    <row r="25" ht="25" customHeight="1">
      <c r="A25" s="19" t="inlineStr">
        <is>
          <t>3. 兴发集团 (600141): 以「矿电磷硅氟」一体化为核心，全国精细磷产品种类最全企业。电子级磷酸占据领先市场份额，与万华化学合资进军新能源。有息负债偏高(~244亿)拉高EV但体现扩张意图。P/E约28x高于同行，反映精细化工+电子化学品溢价。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3" t="n"/>
    </row>
    <row r="26" ht="25" customHeight="1">
      <c r="A26" s="19" t="inlineStr">
        <is>
          <t>4. 川恒股份 (002895): 矿化一体化模式叠加宁德时代深度绑定，FY2024营收同比+36.7%为板块最快增速。ROE 16%、毛利率33%均居行业领先，属磷化工新能源弹性最强标的。高估值(P/E~25x)体现市场对其成长性的认可。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3" t="n"/>
    </row>
    <row r="27" ht="25" customHeight="1">
      <c r="A27" s="19" t="inlineStr">
        <is>
          <t>5. 新洋丰 (000902): 国内复合肥渠道与销量龙头，经营稳健。毛利率16%、ROE 13%表现均衡，P/E约17x在板块内估值偏低，适合稳健型投资者。磷矿资源布局渐进但规模仍弱于第一梯队。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3" t="n"/>
    </row>
    <row r="28" ht="25" customHeight="1">
      <c r="A28" s="19" t="inlineStr">
        <is>
          <t>6. 湖北宜化 (000422) &amp; 川发龙蟒 (002312): 两者均属第二/三梯队磷化工企业。湖北宜化聚焦化肥+PVC+烧碱，ROE 8.9%回报偏低。川发龙蟒为全球工业级磷酸一铵领军者，ROE 5.6%尚处产能爬坡期。二者P/E分别约29x和46x，隐含市场对磷酸铁锂转型的远期预期。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3" t="n"/>
    </row>
  </sheetData>
  <mergeCells count="16">
    <mergeCell ref="A28:P28"/>
    <mergeCell ref="A25:P25"/>
    <mergeCell ref="A16:E16"/>
    <mergeCell ref="A15:E15"/>
    <mergeCell ref="A1:P1"/>
    <mergeCell ref="A23:P23"/>
    <mergeCell ref="A27:P27"/>
    <mergeCell ref="A19:E19"/>
    <mergeCell ref="A22:P22"/>
    <mergeCell ref="A4:P4"/>
    <mergeCell ref="A26:P26"/>
    <mergeCell ref="A14:E14"/>
    <mergeCell ref="A17:E17"/>
    <mergeCell ref="A18:E18"/>
    <mergeCell ref="A24:P2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2026-03-11T06:00:06Z</dcterms:created>
  <dcterms:modified xsi:type="dcterms:W3CDTF">2026-03-11T06:00:06Z</dcterms:modified>
</cp:coreProperties>
</file>